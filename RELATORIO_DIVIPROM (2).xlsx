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RELATORIO\"/>
    </mc:Choice>
  </mc:AlternateContent>
  <xr:revisionPtr revIDLastSave="0" documentId="13_ncr:1_{BDC2C62E-876E-417A-B53D-13D554938D63}" xr6:coauthVersionLast="36" xr6:coauthVersionMax="47" xr10:uidLastSave="{00000000-0000-0000-0000-000000000000}"/>
  <bookViews>
    <workbookView xWindow="-120" yWindow="-120" windowWidth="38640" windowHeight="15840" firstSheet="2" activeTab="3" xr2:uid="{0A227BE2-AF63-4DCA-A24F-DF53BA54A186}"/>
  </bookViews>
  <sheets>
    <sheet name="BASE ANUAL" sheetId="4" r:id="rId1"/>
    <sheet name="BASE ANUAL (GRAFICOS)" sheetId="5" r:id="rId2"/>
    <sheet name="BASE MENSAL 2022" sheetId="2" r:id="rId3"/>
    <sheet name="BASE MENSAL 2022 (GRAFICO)" sheetId="3" r:id="rId4"/>
  </sheets>
  <definedNames>
    <definedName name="_xlnm.Print_Area" localSheetId="3">'BASE MENSAL 2022 (GRAFICO)'!$Q$34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2" l="1"/>
  <c r="L16" i="2"/>
  <c r="K20" i="3" l="1"/>
  <c r="E20" i="3"/>
  <c r="O3" i="4" l="1"/>
  <c r="O4" i="4"/>
  <c r="O5" i="4"/>
  <c r="O6" i="4"/>
  <c r="O7" i="4"/>
  <c r="O2" i="4"/>
  <c r="N3" i="4"/>
  <c r="N4" i="4"/>
  <c r="N5" i="4"/>
  <c r="N6" i="4"/>
  <c r="N7" i="4"/>
  <c r="N2" i="4"/>
  <c r="K18" i="3" l="1"/>
  <c r="K17" i="3"/>
  <c r="K15" i="3"/>
  <c r="K14" i="3"/>
  <c r="K13" i="3"/>
  <c r="K12" i="3"/>
  <c r="K11" i="3"/>
  <c r="K9" i="3"/>
  <c r="L9" i="3" s="1"/>
  <c r="E19" i="3"/>
  <c r="E18" i="3"/>
  <c r="E17" i="3"/>
  <c r="E16" i="3"/>
  <c r="E15" i="3"/>
  <c r="E14" i="3"/>
  <c r="E13" i="3"/>
  <c r="E12" i="3"/>
  <c r="E11" i="3"/>
  <c r="E10" i="3"/>
  <c r="E9" i="3"/>
  <c r="F9" i="3" s="1"/>
  <c r="K2" i="2"/>
  <c r="I3" i="2"/>
  <c r="I4" i="2"/>
  <c r="I5" i="2"/>
  <c r="I6" i="2"/>
  <c r="I7" i="2"/>
  <c r="I8" i="2"/>
  <c r="I9" i="2"/>
  <c r="I10" i="2"/>
  <c r="I11" i="2"/>
  <c r="I12" i="2"/>
  <c r="I13" i="2"/>
  <c r="I2" i="2"/>
  <c r="K3" i="2"/>
  <c r="K4" i="2"/>
  <c r="K5" i="2"/>
  <c r="K6" i="2"/>
  <c r="K7" i="2"/>
  <c r="K8" i="2"/>
  <c r="K9" i="2"/>
  <c r="K10" i="2"/>
  <c r="K11" i="2"/>
  <c r="K12" i="2"/>
  <c r="K13" i="2"/>
  <c r="J3" i="2"/>
  <c r="J4" i="2"/>
  <c r="J5" i="2"/>
  <c r="J6" i="2"/>
  <c r="J7" i="2"/>
  <c r="J8" i="2"/>
  <c r="J9" i="2"/>
  <c r="J10" i="2"/>
  <c r="J11" i="2"/>
  <c r="J12" i="2"/>
  <c r="J13" i="2"/>
  <c r="J2" i="2"/>
  <c r="K10" i="3"/>
  <c r="K16" i="3"/>
  <c r="K19" i="3"/>
  <c r="M8" i="2" l="1"/>
  <c r="M3" i="2"/>
  <c r="M4" i="2"/>
  <c r="M5" i="2"/>
  <c r="M6" i="2"/>
  <c r="M7" i="2"/>
  <c r="M9" i="2"/>
  <c r="M10" i="2"/>
  <c r="M11" i="2"/>
  <c r="M12" i="2"/>
  <c r="M13" i="2"/>
  <c r="M2" i="2"/>
  <c r="L3" i="2"/>
  <c r="L4" i="2"/>
  <c r="L5" i="2"/>
  <c r="L6" i="2"/>
  <c r="L7" i="2"/>
  <c r="L8" i="2"/>
  <c r="L9" i="2"/>
  <c r="L10" i="2"/>
  <c r="L11" i="2"/>
  <c r="L12" i="2"/>
  <c r="L13" i="2"/>
  <c r="L2" i="2"/>
</calcChain>
</file>

<file path=xl/sharedStrings.xml><?xml version="1.0" encoding="utf-8"?>
<sst xmlns="http://schemas.openxmlformats.org/spreadsheetml/2006/main" count="79" uniqueCount="37">
  <si>
    <t>ANO</t>
  </si>
  <si>
    <t>MÊS</t>
  </si>
  <si>
    <t>JANEIRO</t>
  </si>
  <si>
    <t>FEVEREIRO</t>
  </si>
  <si>
    <t>MARÇO</t>
  </si>
  <si>
    <t>ABRIL</t>
  </si>
  <si>
    <t xml:space="preserve">MAIO </t>
  </si>
  <si>
    <t>JUNHO</t>
  </si>
  <si>
    <t>JULHO</t>
  </si>
  <si>
    <t>AGOSTO</t>
  </si>
  <si>
    <t>SETEMBRO</t>
  </si>
  <si>
    <t>OUTUBRO</t>
  </si>
  <si>
    <t>NOVEMBRO</t>
  </si>
  <si>
    <t>DEZEMBRO</t>
  </si>
  <si>
    <t>DEFESA DEFERIDA</t>
  </si>
  <si>
    <t>TOTAL JULGADO</t>
  </si>
  <si>
    <t>TOTAL DEFERIDO</t>
  </si>
  <si>
    <t>TOTAL INDEFERIDO</t>
  </si>
  <si>
    <t>QTD. AITs</t>
  </si>
  <si>
    <t>DEFESA INDEFERIDA</t>
  </si>
  <si>
    <t>JARI DEFERIDA</t>
  </si>
  <si>
    <t>JARI INDEFERIDA</t>
  </si>
  <si>
    <t>PORCENTAGEM DEFERIDA</t>
  </si>
  <si>
    <t>PORCENTAGEM INDEFERIDA</t>
  </si>
  <si>
    <t>COMPARATIVO 2022:  AUTUAÇÕES X PROCESSOS 
* Sujeito a alterações de entregas atrasadas e/ou aguardando processamento</t>
  </si>
  <si>
    <t>MEDIA DEFERIDA</t>
  </si>
  <si>
    <t>MEDIA INDEFERIDA</t>
  </si>
  <si>
    <t>CETRAN INDEFERIDO</t>
  </si>
  <si>
    <t>PORCENTAGEM MÉDIA</t>
  </si>
  <si>
    <t>CETRAN DEFERIDO</t>
  </si>
  <si>
    <t xml:space="preserve"> </t>
  </si>
  <si>
    <t>CADASTRO DEFESA</t>
  </si>
  <si>
    <t>CADASTRO JARI</t>
  </si>
  <si>
    <t>CADASTRO CETRAN</t>
  </si>
  <si>
    <t>JULGAMENTO DEFESA</t>
  </si>
  <si>
    <t>JULGAMENTO JARI</t>
  </si>
  <si>
    <t>JULGAMENTO CETRAN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</si>
</sst>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5947"/>
      <color rgb="FFFF36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CADASTRO DE PROCESSOS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358705161854774E-2"/>
          <c:y val="0.16708333333333336"/>
          <c:w val="0.8775301837270341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ANUAL'!$B$1</c:f>
              <c:strCache>
                <c:ptCount val="1"/>
                <c:pt idx="0">
                  <c:v>CADASTRO DEFESA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9444444444444445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21-467E-BD1D-44981867AA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ANUAL'!$B$2:$B$7</c:f>
              <c:numCache>
                <c:formatCode>General</c:formatCode>
                <c:ptCount val="6"/>
                <c:pt idx="0">
                  <c:v>685</c:v>
                </c:pt>
                <c:pt idx="1">
                  <c:v>729</c:v>
                </c:pt>
                <c:pt idx="2">
                  <c:v>2041</c:v>
                </c:pt>
                <c:pt idx="3">
                  <c:v>1606</c:v>
                </c:pt>
                <c:pt idx="4">
                  <c:v>3675</c:v>
                </c:pt>
                <c:pt idx="5">
                  <c:v>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1-467E-BD1D-44981867AA02}"/>
            </c:ext>
          </c:extLst>
        </c:ser>
        <c:ser>
          <c:idx val="1"/>
          <c:order val="1"/>
          <c:tx>
            <c:strRef>
              <c:f>'BASE ANUAL'!$C$1</c:f>
              <c:strCache>
                <c:ptCount val="1"/>
                <c:pt idx="0">
                  <c:v>CADASTRO JARI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3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21-467E-BD1D-44981867AA02}"/>
                </c:ext>
              </c:extLst>
            </c:dLbl>
            <c:dLbl>
              <c:idx val="2"/>
              <c:layout>
                <c:manualLayout>
                  <c:x val="8.3333333333332829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21-467E-BD1D-44981867AA02}"/>
                </c:ext>
              </c:extLst>
            </c:dLbl>
            <c:dLbl>
              <c:idx val="3"/>
              <c:layout>
                <c:manualLayout>
                  <c:x val="1.3888888888888888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21-467E-BD1D-44981867AA02}"/>
                </c:ext>
              </c:extLst>
            </c:dLbl>
            <c:dLbl>
              <c:idx val="4"/>
              <c:layout>
                <c:manualLayout>
                  <c:x val="5.555555555555555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21-467E-BD1D-44981867AA02}"/>
                </c:ext>
              </c:extLst>
            </c:dLbl>
            <c:dLbl>
              <c:idx val="5"/>
              <c:layout>
                <c:manualLayout>
                  <c:x val="2.222222222222222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21-467E-BD1D-44981867AA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ANUAL'!$C$2:$C$7</c:f>
              <c:numCache>
                <c:formatCode>General</c:formatCode>
                <c:ptCount val="6"/>
                <c:pt idx="0">
                  <c:v>839</c:v>
                </c:pt>
                <c:pt idx="1">
                  <c:v>847</c:v>
                </c:pt>
                <c:pt idx="2">
                  <c:v>938</c:v>
                </c:pt>
                <c:pt idx="3">
                  <c:v>479</c:v>
                </c:pt>
                <c:pt idx="4">
                  <c:v>971</c:v>
                </c:pt>
                <c:pt idx="5">
                  <c:v>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21-467E-BD1D-44981867AA02}"/>
            </c:ext>
          </c:extLst>
        </c:ser>
        <c:ser>
          <c:idx val="2"/>
          <c:order val="2"/>
          <c:tx>
            <c:strRef>
              <c:f>'BASE ANUAL'!$D$1</c:f>
              <c:strCache>
                <c:ptCount val="1"/>
                <c:pt idx="0">
                  <c:v>CADASTRO CETRAN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ANUAL'!$D$2:$D$7</c:f>
              <c:numCache>
                <c:formatCode>General</c:formatCode>
                <c:ptCount val="6"/>
                <c:pt idx="0">
                  <c:v>19</c:v>
                </c:pt>
                <c:pt idx="1">
                  <c:v>46</c:v>
                </c:pt>
                <c:pt idx="2">
                  <c:v>20</c:v>
                </c:pt>
                <c:pt idx="3">
                  <c:v>17</c:v>
                </c:pt>
                <c:pt idx="4">
                  <c:v>12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21-467E-BD1D-44981867AA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562000"/>
        <c:axId val="1316560752"/>
      </c:barChart>
      <c:catAx>
        <c:axId val="131656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6560752"/>
        <c:crosses val="autoZero"/>
        <c:auto val="1"/>
        <c:lblAlgn val="ctr"/>
        <c:lblOffset val="100"/>
        <c:noMultiLvlLbl val="0"/>
      </c:catAx>
      <c:valAx>
        <c:axId val="131656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65620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DEFERIDO X TOTAL INDEFERIDO</a:t>
            </a:r>
          </a:p>
        </c:rich>
      </c:tx>
      <c:layout>
        <c:manualLayout>
          <c:xMode val="edge"/>
          <c:yMode val="edge"/>
          <c:x val="0.21184676621923151"/>
          <c:y val="2.3529411764705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ANUAL'!$N$1</c:f>
              <c:strCache>
                <c:ptCount val="1"/>
                <c:pt idx="0">
                  <c:v>TOTAL DEFERIDO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ANUAL'!$N$2:$N$7</c:f>
              <c:numCache>
                <c:formatCode>General</c:formatCode>
                <c:ptCount val="6"/>
                <c:pt idx="0">
                  <c:v>799</c:v>
                </c:pt>
                <c:pt idx="1">
                  <c:v>1036</c:v>
                </c:pt>
                <c:pt idx="2">
                  <c:v>1179</c:v>
                </c:pt>
                <c:pt idx="3">
                  <c:v>997</c:v>
                </c:pt>
                <c:pt idx="4">
                  <c:v>1697</c:v>
                </c:pt>
                <c:pt idx="5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3-4745-AD9A-01986503EB71}"/>
            </c:ext>
          </c:extLst>
        </c:ser>
        <c:ser>
          <c:idx val="1"/>
          <c:order val="1"/>
          <c:tx>
            <c:strRef>
              <c:f>'BASE ANUAL'!$O$1</c:f>
              <c:strCache>
                <c:ptCount val="1"/>
                <c:pt idx="0">
                  <c:v>TOTAL INDEFERIDO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ANUAL'!$O$2:$O$7</c:f>
              <c:numCache>
                <c:formatCode>General</c:formatCode>
                <c:ptCount val="6"/>
                <c:pt idx="0">
                  <c:v>653</c:v>
                </c:pt>
                <c:pt idx="1">
                  <c:v>663</c:v>
                </c:pt>
                <c:pt idx="2">
                  <c:v>783</c:v>
                </c:pt>
                <c:pt idx="3">
                  <c:v>930</c:v>
                </c:pt>
                <c:pt idx="4">
                  <c:v>3508</c:v>
                </c:pt>
                <c:pt idx="5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3-4745-AD9A-01986503EB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543696"/>
        <c:axId val="1316547440"/>
      </c:barChart>
      <c:catAx>
        <c:axId val="13165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6547440"/>
        <c:crosses val="autoZero"/>
        <c:auto val="1"/>
        <c:lblAlgn val="ctr"/>
        <c:lblOffset val="100"/>
        <c:noMultiLvlLbl val="0"/>
      </c:catAx>
      <c:valAx>
        <c:axId val="131654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65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JULGAMENTO CETRAN X DEFERIDO / INDEFERIDO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ANUAL'!$G$1</c:f>
              <c:strCache>
                <c:ptCount val="1"/>
                <c:pt idx="0">
                  <c:v>JULGAMENTO CETRAN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ANUAL'!$G$3:$G$7</c:f>
              <c:numCache>
                <c:formatCode>General</c:formatCode>
                <c:ptCount val="5"/>
                <c:pt idx="0">
                  <c:v>59</c:v>
                </c:pt>
                <c:pt idx="1">
                  <c:v>16</c:v>
                </c:pt>
                <c:pt idx="2">
                  <c:v>12</c:v>
                </c:pt>
                <c:pt idx="3">
                  <c:v>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D-41AA-B57E-3FCBE0862BA9}"/>
            </c:ext>
          </c:extLst>
        </c:ser>
        <c:ser>
          <c:idx val="1"/>
          <c:order val="1"/>
          <c:tx>
            <c:strRef>
              <c:f>'BASE ANUAL'!$J$1</c:f>
              <c:strCache>
                <c:ptCount val="1"/>
                <c:pt idx="0">
                  <c:v>CETRAN DEFERIDO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ANUAL'!$J$3:$J$7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D-41AA-B57E-3FCBE0862BA9}"/>
            </c:ext>
          </c:extLst>
        </c:ser>
        <c:ser>
          <c:idx val="2"/>
          <c:order val="2"/>
          <c:tx>
            <c:strRef>
              <c:f>'BASE ANUAL'!$M$1</c:f>
              <c:strCache>
                <c:ptCount val="1"/>
                <c:pt idx="0">
                  <c:v>CETRAN INDEFERIDO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ANUAL'!$M$3:$M$7</c:f>
              <c:numCache>
                <c:formatCode>General</c:formatCode>
                <c:ptCount val="5"/>
                <c:pt idx="0">
                  <c:v>59</c:v>
                </c:pt>
                <c:pt idx="1">
                  <c:v>16</c:v>
                </c:pt>
                <c:pt idx="2">
                  <c:v>12</c:v>
                </c:pt>
                <c:pt idx="3">
                  <c:v>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D-41AA-B57E-3FCBE0862B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8605056"/>
        <c:axId val="1758580096"/>
      </c:barChart>
      <c:catAx>
        <c:axId val="17586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580096"/>
        <c:crosses val="autoZero"/>
        <c:auto val="1"/>
        <c:lblAlgn val="ctr"/>
        <c:lblOffset val="100"/>
        <c:noMultiLvlLbl val="0"/>
      </c:catAx>
      <c:valAx>
        <c:axId val="175858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6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JULGAMENTO DE JARI</a:t>
            </a:r>
            <a:r>
              <a:rPr lang="pt-BR" baseline="0"/>
              <a:t> X DEFERIDO / INDEFERIDO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75352893918229"/>
          <c:y val="0.16758842443729904"/>
          <c:w val="0.88297506815440141"/>
          <c:h val="0.64345815293988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ANUAL'!$F$1</c:f>
              <c:strCache>
                <c:ptCount val="1"/>
                <c:pt idx="0">
                  <c:v>JULGAMENTO JARI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ANUAL'!$F$2:$F$7</c:f>
              <c:numCache>
                <c:formatCode>General</c:formatCode>
                <c:ptCount val="6"/>
                <c:pt idx="0">
                  <c:v>809</c:v>
                </c:pt>
                <c:pt idx="1">
                  <c:v>861</c:v>
                </c:pt>
                <c:pt idx="2">
                  <c:v>792</c:v>
                </c:pt>
                <c:pt idx="3">
                  <c:v>467</c:v>
                </c:pt>
                <c:pt idx="4">
                  <c:v>619</c:v>
                </c:pt>
                <c:pt idx="5">
                  <c:v>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0-453B-B6C1-022E64CB310C}"/>
            </c:ext>
          </c:extLst>
        </c:ser>
        <c:ser>
          <c:idx val="1"/>
          <c:order val="1"/>
          <c:tx>
            <c:strRef>
              <c:f>'BASE ANUAL'!$I$1</c:f>
              <c:strCache>
                <c:ptCount val="1"/>
                <c:pt idx="0">
                  <c:v>JARI DEFERIDA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2596986565404116E-3"/>
                  <c:y val="-6.885677418124148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00-453B-B6C1-022E64CB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ANUAL'!$I$2:$I$7</c:f>
              <c:numCache>
                <c:formatCode>General</c:formatCode>
                <c:ptCount val="6"/>
                <c:pt idx="0">
                  <c:v>571</c:v>
                </c:pt>
                <c:pt idx="1">
                  <c:v>603</c:v>
                </c:pt>
                <c:pt idx="2">
                  <c:v>478</c:v>
                </c:pt>
                <c:pt idx="3">
                  <c:v>260</c:v>
                </c:pt>
                <c:pt idx="4">
                  <c:v>247</c:v>
                </c:pt>
                <c:pt idx="5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00-453B-B6C1-022E64CB310C}"/>
            </c:ext>
          </c:extLst>
        </c:ser>
        <c:ser>
          <c:idx val="2"/>
          <c:order val="2"/>
          <c:tx>
            <c:strRef>
              <c:f>'BASE ANUAL'!$L$1</c:f>
              <c:strCache>
                <c:ptCount val="1"/>
                <c:pt idx="0">
                  <c:v>JARI INDEFERIDA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1.314924664135108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00-453B-B6C1-022E64CB310C}"/>
                </c:ext>
              </c:extLst>
            </c:dLbl>
            <c:dLbl>
              <c:idx val="5"/>
              <c:layout>
                <c:manualLayout>
                  <c:x val="7.889547984810653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00-453B-B6C1-022E64CB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ANUAL'!$L$2:$L$7</c:f>
              <c:numCache>
                <c:formatCode>General</c:formatCode>
                <c:ptCount val="6"/>
                <c:pt idx="0">
                  <c:v>238</c:v>
                </c:pt>
                <c:pt idx="1">
                  <c:v>258</c:v>
                </c:pt>
                <c:pt idx="2">
                  <c:v>314</c:v>
                </c:pt>
                <c:pt idx="3">
                  <c:v>207</c:v>
                </c:pt>
                <c:pt idx="4">
                  <c:v>372</c:v>
                </c:pt>
                <c:pt idx="5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00-453B-B6C1-022E64CB3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6733712"/>
        <c:axId val="856734128"/>
      </c:barChart>
      <c:catAx>
        <c:axId val="85673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734128"/>
        <c:crosses val="autoZero"/>
        <c:auto val="1"/>
        <c:lblAlgn val="ctr"/>
        <c:lblOffset val="100"/>
        <c:noMultiLvlLbl val="0"/>
      </c:catAx>
      <c:valAx>
        <c:axId val="85673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7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JULGAMENTO DE</a:t>
            </a:r>
            <a:r>
              <a:rPr lang="pt-BR" baseline="0"/>
              <a:t> DEFESA X DEFERIDO / INDEFERIDO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172137684560594E-2"/>
          <c:y val="0.10699129714048902"/>
          <c:w val="0.91045619632816222"/>
          <c:h val="0.7081986462218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ANUAL'!$E$1</c:f>
              <c:strCache>
                <c:ptCount val="1"/>
                <c:pt idx="0">
                  <c:v>JULGAMENTO DEFESA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ANUAL'!$E$2:$E$7</c:f>
              <c:numCache>
                <c:formatCode>General</c:formatCode>
                <c:ptCount val="6"/>
                <c:pt idx="1">
                  <c:v>779</c:v>
                </c:pt>
                <c:pt idx="2">
                  <c:v>1154</c:v>
                </c:pt>
                <c:pt idx="3">
                  <c:v>1448</c:v>
                </c:pt>
                <c:pt idx="4">
                  <c:v>4580</c:v>
                </c:pt>
                <c:pt idx="5">
                  <c:v>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4-445A-9253-4BFD206B93C1}"/>
            </c:ext>
          </c:extLst>
        </c:ser>
        <c:ser>
          <c:idx val="1"/>
          <c:order val="1"/>
          <c:tx>
            <c:strRef>
              <c:f>'BASE ANUAL'!$H$1</c:f>
              <c:strCache>
                <c:ptCount val="1"/>
                <c:pt idx="0">
                  <c:v>DEFESA DEFERIDA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7962213225371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B4-445A-9253-4BFD206B93C1}"/>
                </c:ext>
              </c:extLst>
            </c:dLbl>
            <c:dLbl>
              <c:idx val="5"/>
              <c:layout>
                <c:manualLayout>
                  <c:x val="8.09716599190293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B4-445A-9253-4BFD206B93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ANUAL'!$H$2:$H$7</c:f>
              <c:numCache>
                <c:formatCode>General</c:formatCode>
                <c:ptCount val="6"/>
                <c:pt idx="0">
                  <c:v>228</c:v>
                </c:pt>
                <c:pt idx="1">
                  <c:v>433</c:v>
                </c:pt>
                <c:pt idx="2">
                  <c:v>701</c:v>
                </c:pt>
                <c:pt idx="3">
                  <c:v>737</c:v>
                </c:pt>
                <c:pt idx="4">
                  <c:v>1450</c:v>
                </c:pt>
                <c:pt idx="5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4-445A-9253-4BFD206B93C1}"/>
            </c:ext>
          </c:extLst>
        </c:ser>
        <c:ser>
          <c:idx val="2"/>
          <c:order val="2"/>
          <c:tx>
            <c:strRef>
              <c:f>'BASE ANUAL'!$K$1</c:f>
              <c:strCache>
                <c:ptCount val="1"/>
                <c:pt idx="0">
                  <c:v>DEFESA INDEFERIDA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3495276653171391E-2"/>
                  <c:y val="-4.24628308130353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B4-445A-9253-4BFD206B93C1}"/>
                </c:ext>
              </c:extLst>
            </c:dLbl>
            <c:dLbl>
              <c:idx val="2"/>
              <c:layout>
                <c:manualLayout>
                  <c:x val="8.0971659919027352E-3"/>
                  <c:y val="-7.7847623854839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B4-445A-9253-4BFD206B93C1}"/>
                </c:ext>
              </c:extLst>
            </c:dLbl>
            <c:dLbl>
              <c:idx val="3"/>
              <c:layout>
                <c:manualLayout>
                  <c:x val="1.3495276653171292E-2"/>
                  <c:y val="-7.7847623854839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B4-445A-9253-4BFD206B93C1}"/>
                </c:ext>
              </c:extLst>
            </c:dLbl>
            <c:dLbl>
              <c:idx val="5"/>
              <c:layout>
                <c:manualLayout>
                  <c:x val="8.0971659919028341E-3"/>
                  <c:y val="-7.7847623854839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B4-445A-9253-4BFD206B93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ANUAL'!$A$2:$A$7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'BASE ANUAL'!$K$2:$K$7</c:f>
              <c:numCache>
                <c:formatCode>General</c:formatCode>
                <c:ptCount val="6"/>
                <c:pt idx="0">
                  <c:v>415</c:v>
                </c:pt>
                <c:pt idx="1">
                  <c:v>346</c:v>
                </c:pt>
                <c:pt idx="2">
                  <c:v>453</c:v>
                </c:pt>
                <c:pt idx="3">
                  <c:v>711</c:v>
                </c:pt>
                <c:pt idx="4">
                  <c:v>3130</c:v>
                </c:pt>
                <c:pt idx="5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4-445A-9253-4BFD206B9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562416"/>
        <c:axId val="1316559504"/>
      </c:barChart>
      <c:catAx>
        <c:axId val="13165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6559504"/>
        <c:crosses val="autoZero"/>
        <c:auto val="1"/>
        <c:lblAlgn val="ctr"/>
        <c:lblOffset val="100"/>
        <c:noMultiLvlLbl val="0"/>
      </c:catAx>
      <c:valAx>
        <c:axId val="131655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656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TOTAL</a:t>
            </a:r>
            <a:r>
              <a:rPr lang="pt-BR" b="1" baseline="0"/>
              <a:t> JULGADO </a:t>
            </a:r>
            <a:r>
              <a:rPr lang="pt-BR" baseline="0"/>
              <a:t>EM RELAÇÃO À QUANTIDADE DE AITs </a:t>
            </a:r>
            <a:endParaRPr lang="pt-BR"/>
          </a:p>
        </c:rich>
      </c:tx>
      <c:layout>
        <c:manualLayout>
          <c:xMode val="edge"/>
          <c:yMode val="edge"/>
          <c:x val="0.16909766982046956"/>
          <c:y val="1.7948717948717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TOTAL </a:t>
            </a:r>
            <a:r>
              <a:rPr lang="pt-BR" b="1">
                <a:solidFill>
                  <a:sysClr val="windowText" lastClr="000000"/>
                </a:solidFill>
              </a:rPr>
              <a:t>DEFERIDO </a:t>
            </a:r>
            <a:r>
              <a:rPr lang="pt-BR">
                <a:solidFill>
                  <a:sysClr val="windowText" lastClr="000000"/>
                </a:solidFill>
              </a:rPr>
              <a:t>EM RELAÇÃO À QUANTIDADE DE AUTUAÇÕES</a:t>
            </a:r>
          </a:p>
        </c:rich>
      </c:tx>
      <c:layout>
        <c:manualLayout>
          <c:xMode val="edge"/>
          <c:yMode val="edge"/>
          <c:x val="0.12985895615507079"/>
          <c:y val="1.895682720461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07199810989512"/>
          <c:y val="0.15937413030132619"/>
          <c:w val="0.74690364369022955"/>
          <c:h val="0.7808115525093581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6BD-4BF9-8D86-5C6A5FF56C13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6BD-4BF9-8D86-5C6A5FF56C13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6BD-4BF9-8D86-5C6A5FF56C13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6BD-4BF9-8D86-5C6A5FF56C13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6BD-4BF9-8D86-5C6A5FF56C13}"/>
              </c:ext>
            </c:extLst>
          </c:dPt>
          <c:dPt>
            <c:idx val="5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6BD-4BF9-8D86-5C6A5FF56C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6BD-4BF9-8D86-5C6A5FF56C13}"/>
              </c:ext>
            </c:extLst>
          </c:dPt>
          <c:dPt>
            <c:idx val="7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6BD-4BF9-8D86-5C6A5FF56C13}"/>
              </c:ext>
            </c:extLst>
          </c:dPt>
          <c:dPt>
            <c:idx val="8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6BD-4BF9-8D86-5C6A5FF56C13}"/>
              </c:ext>
            </c:extLst>
          </c:dPt>
          <c:dPt>
            <c:idx val="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6BD-4BF9-8D86-5C6A5FF56C1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DF5-4755-A79A-8D03D0C98D1E}"/>
              </c:ext>
            </c:extLst>
          </c:dPt>
          <c:dPt>
            <c:idx val="1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60D-45A1-BD33-36C2BC4B14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AA86759-9116-40B6-BBB4-CBFD27990A24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3814D271-4196-4C78-AE9B-7E6C03BC14FF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6BD-4BF9-8D86-5C6A5FF56C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40E52C-4B0A-4A79-874A-AB7EAFFDB70C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F9FC6937-17AC-4D9E-85E5-AD8334BBCA37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6BD-4BF9-8D86-5C6A5FF56C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CD962D-31BA-4E4D-BB1C-94AE2689C5CE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CD22DF17-1FBD-4BBD-B627-9472BA4B8E8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6BD-4BF9-8D86-5C6A5FF56C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186EA2-909B-49FA-A0AD-BD4676C392B6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2D44A9BF-A419-4078-B851-8FBB0893185B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6BD-4BF9-8D86-5C6A5FF56C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E60A4FD-1838-4A85-ADCF-94036D7D1A2C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7941126A-9AB9-4304-9CCC-9638E02826FF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6BD-4BF9-8D86-5C6A5FF56C1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6A84852-27A6-4300-AA47-2B67869B2501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A7A3671E-55A5-4286-9644-E1945C6FF091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6BD-4BF9-8D86-5C6A5FF56C1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48207E-CB40-429E-B2D1-C55C1D4D5FC8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C001C2C5-9B70-47D8-8F67-8EDF099E6499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6BD-4BF9-8D86-5C6A5FF56C1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23DFC93-7206-42D1-9053-61A0B1E5E46E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9321D80B-3781-41E2-9487-A2A4BA6C2A6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6BD-4BF9-8D86-5C6A5FF56C1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642DE1-2412-4377-9841-2DA04C01E2D5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3C29036A-0182-4AB2-A413-1C98008D0E7E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6BD-4BF9-8D86-5C6A5FF56C1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FE1BD1A-7C76-4F1F-AF22-E1FD781501D7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AF82BA37-E9E7-423B-A1FE-8EA2C0CDF2E3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6BD-4BF9-8D86-5C6A5FF56C1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144AC4C-905F-4A1B-9F22-587E51591BEA}" type="CELLRANGE">
                      <a:rPr lang="en-US"/>
                      <a:pPr/>
                      <a:t>[INTERVALODACÉLULA]</a:t>
                    </a:fld>
                    <a:r>
                      <a:rPr lang="en-US" baseline="0"/>
                      <a:t>
</a:t>
                    </a:r>
                    <a:fld id="{E92395B5-0360-46BE-8CB2-026A9D8D852F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DF5-4755-A79A-8D03D0C98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DEZEMBRO</a:t>
                    </a:r>
                  </a:p>
                  <a:p>
                    <a:fld id="{E1886E36-83C6-4DD7-B940-D27B85766F6B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660D-45A1-BD33-36C2BC4B14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'BASE MENSAL 2022 (GRAFICO)'!$K$9:$K$20</c:f>
              <c:numCache>
                <c:formatCode>0.0%</c:formatCode>
                <c:ptCount val="12"/>
                <c:pt idx="0">
                  <c:v>1.3086642599277979E-2</c:v>
                </c:pt>
                <c:pt idx="1">
                  <c:v>2.8448738593666131E-2</c:v>
                </c:pt>
                <c:pt idx="2">
                  <c:v>1.3943286855710481E-2</c:v>
                </c:pt>
                <c:pt idx="3">
                  <c:v>7.006818716200329E-2</c:v>
                </c:pt>
                <c:pt idx="4">
                  <c:v>2.8556771545827635E-2</c:v>
                </c:pt>
                <c:pt idx="5">
                  <c:v>8.5965328900498697E-2</c:v>
                </c:pt>
                <c:pt idx="6">
                  <c:v>5.3220277827891037E-2</c:v>
                </c:pt>
                <c:pt idx="7">
                  <c:v>5.1962616822429905E-2</c:v>
                </c:pt>
                <c:pt idx="8">
                  <c:v>1.190161332980693E-2</c:v>
                </c:pt>
                <c:pt idx="9">
                  <c:v>3.1936127744510975E-2</c:v>
                </c:pt>
                <c:pt idx="10">
                  <c:v>4.1786743515850142E-2</c:v>
                </c:pt>
                <c:pt idx="11">
                  <c:v>4.4772674821140085E-2</c:v>
                </c:pt>
              </c:numCache>
            </c:numRef>
          </c:cat>
          <c:val>
            <c:numRef>
              <c:f>'BASE MENSAL 2022 (GRAFICO)'!$K$9:$K$20</c:f>
              <c:numCache>
                <c:formatCode>0.0%</c:formatCode>
                <c:ptCount val="12"/>
                <c:pt idx="0">
                  <c:v>1.3086642599277979E-2</c:v>
                </c:pt>
                <c:pt idx="1">
                  <c:v>2.8448738593666131E-2</c:v>
                </c:pt>
                <c:pt idx="2">
                  <c:v>1.3943286855710481E-2</c:v>
                </c:pt>
                <c:pt idx="3">
                  <c:v>7.006818716200329E-2</c:v>
                </c:pt>
                <c:pt idx="4">
                  <c:v>2.8556771545827635E-2</c:v>
                </c:pt>
                <c:pt idx="5">
                  <c:v>8.5965328900498697E-2</c:v>
                </c:pt>
                <c:pt idx="6">
                  <c:v>5.3220277827891037E-2</c:v>
                </c:pt>
                <c:pt idx="7">
                  <c:v>5.1962616822429905E-2</c:v>
                </c:pt>
                <c:pt idx="8">
                  <c:v>1.190161332980693E-2</c:v>
                </c:pt>
                <c:pt idx="9">
                  <c:v>3.1936127744510975E-2</c:v>
                </c:pt>
                <c:pt idx="10">
                  <c:v>4.1786743515850142E-2</c:v>
                </c:pt>
                <c:pt idx="11">
                  <c:v>4.4772674821140085E-2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'BASE MENSAL 2022 (GRAFICO)'!$H$9:$H$19</c15:f>
                <c15:dlblRangeCache>
                  <c:ptCount val="11"/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 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16BD-4BF9-8D86-5C6A5FF56C13}"/>
            </c:ext>
          </c:extLst>
        </c:ser>
        <c:ser>
          <c:idx val="1"/>
          <c:order val="1"/>
          <c:tx>
            <c:strRef>
              <c:f>'BASE MENSAL 2022 (GRAFICO)'!$H$9:$H$20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 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A9F-4533-8429-1CEE608A1FE1}"/>
              </c:ext>
            </c:extLst>
          </c:dPt>
          <c:cat>
            <c:numRef>
              <c:f>'BASE MENSAL 2022 (GRAFICO)'!$K$9:$K$20</c:f>
              <c:numCache>
                <c:formatCode>0.0%</c:formatCode>
                <c:ptCount val="12"/>
                <c:pt idx="0">
                  <c:v>1.3086642599277979E-2</c:v>
                </c:pt>
                <c:pt idx="1">
                  <c:v>2.8448738593666131E-2</c:v>
                </c:pt>
                <c:pt idx="2">
                  <c:v>1.3943286855710481E-2</c:v>
                </c:pt>
                <c:pt idx="3">
                  <c:v>7.006818716200329E-2</c:v>
                </c:pt>
                <c:pt idx="4">
                  <c:v>2.8556771545827635E-2</c:v>
                </c:pt>
                <c:pt idx="5">
                  <c:v>8.5965328900498697E-2</c:v>
                </c:pt>
                <c:pt idx="6">
                  <c:v>5.3220277827891037E-2</c:v>
                </c:pt>
                <c:pt idx="7">
                  <c:v>5.1962616822429905E-2</c:v>
                </c:pt>
                <c:pt idx="8">
                  <c:v>1.190161332980693E-2</c:v>
                </c:pt>
                <c:pt idx="9">
                  <c:v>3.1936127744510975E-2</c:v>
                </c:pt>
                <c:pt idx="10">
                  <c:v>4.1786743515850142E-2</c:v>
                </c:pt>
                <c:pt idx="11">
                  <c:v>4.4772674821140085E-2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7-660D-45A1-BD33-36C2BC4B1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TOTAL</a:t>
            </a:r>
            <a:r>
              <a:rPr lang="pt-BR" baseline="0">
                <a:solidFill>
                  <a:schemeClr val="tx1"/>
                </a:solidFill>
              </a:rPr>
              <a:t> </a:t>
            </a:r>
            <a:r>
              <a:rPr lang="pt-BR" b="1" baseline="0">
                <a:solidFill>
                  <a:schemeClr val="tx1"/>
                </a:solidFill>
              </a:rPr>
              <a:t>INDEFERIDO</a:t>
            </a:r>
            <a:r>
              <a:rPr lang="pt-BR" baseline="0">
                <a:solidFill>
                  <a:schemeClr val="tx1"/>
                </a:solidFill>
              </a:rPr>
              <a:t> EM RELAÇÃO À QUANTIDADE DE </a:t>
            </a:r>
            <a:r>
              <a:rPr lang="pt-BR" sz="1400" b="0" i="0" u="none" strike="noStrike" baseline="0">
                <a:solidFill>
                  <a:sysClr val="windowText" lastClr="000000"/>
                </a:solidFill>
                <a:effectLst/>
              </a:rPr>
              <a:t>AUTUAÇÕES</a:t>
            </a:r>
            <a:endParaRPr lang="pt-BR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A1F-4470-A05C-6B2D5A7AA262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4A1F-4470-A05C-6B2D5A7AA262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A1F-4470-A05C-6B2D5A7AA262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A1F-4470-A05C-6B2D5A7AA262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A1F-4470-A05C-6B2D5A7AA262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A1F-4470-A05C-6B2D5A7AA2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A1F-4470-A05C-6B2D5A7AA262}"/>
              </c:ext>
            </c:extLst>
          </c:dPt>
          <c:dPt>
            <c:idx val="7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A1F-4470-A05C-6B2D5A7AA262}"/>
              </c:ext>
            </c:extLst>
          </c:dPt>
          <c:dPt>
            <c:idx val="8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A1F-4470-A05C-6B2D5A7AA262}"/>
              </c:ext>
            </c:extLst>
          </c:dPt>
          <c:dPt>
            <c:idx val="9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A1F-4470-A05C-6B2D5A7AA26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C6E-4642-A0AC-1AB0134EBAAD}"/>
              </c:ext>
            </c:extLst>
          </c:dPt>
          <c:dPt>
            <c:idx val="1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06E-4C52-92A7-305D52E7571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B0E865-8E84-4F55-8E6C-8C47B3105D6D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43FE36EF-400A-4A02-B566-1ACEA92FAAFD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A1F-4470-A05C-6B2D5A7AA2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093CE0-7D3D-4AE5-B31A-9A569AAFAC3D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E213CB2B-B667-4C65-AF67-12533B093CC1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4A1F-4470-A05C-6B2D5A7AA2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5DDEED-68E9-4710-ACC7-1DFA408CA59D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DAC02EC5-B284-461B-AE58-95A73CC28F64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A1F-4470-A05C-6B2D5A7AA2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F3EFE59-7188-4694-BA76-939BD1073D65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30A67003-50AB-49D9-9BB1-B2E0B8F91433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4A1F-4470-A05C-6B2D5A7AA26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67B443B-7AD0-45E1-9770-6394CDE4253C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E91C1DF5-E13D-4264-BC79-73C9DF75E5D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4A1F-4470-A05C-6B2D5A7AA26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9464D86-F309-4E8E-9935-983FEA5F89D4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660861C4-326D-458D-8499-8AFF2ECE15CE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4A1F-4470-A05C-6B2D5A7AA26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71961BE-F279-4500-B027-D70042724EFE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AFAF90DA-2EC7-4B97-BBFA-8A29DD4AB5D4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4A1F-4470-A05C-6B2D5A7AA26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AD9FA7-FAF4-481D-83F9-186472543F33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D8AFCD6F-13B2-4770-B81F-4018853357EB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4A1F-4470-A05C-6B2D5A7AA26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475BD4A-8B49-46D5-B777-9B5291BF3CB9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C9C0D8C9-164E-472D-8722-F48FE6D99597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4A1F-4470-A05C-6B2D5A7AA26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A345B39-8342-4D1B-9CBD-0DC15CE5E210}" type="CELLRANGE">
                      <a:rPr lang="en-US"/>
                      <a:pPr/>
                      <a:t>[INTERVALODACÉLULA]</a:t>
                    </a:fld>
                    <a:r>
                      <a:rPr lang="en-US" baseline="0"/>
                      <a:t>
</a:t>
                    </a:r>
                    <a:fld id="{31B3A0FE-707F-48CA-85D4-3349C7BD9BE6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A1F-4470-A05C-6B2D5A7AA26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B10ACBC-5506-423B-8A28-5AB545EA0191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DC0F9F22-9F18-432B-9954-56E02FC08281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FC6E-4642-A0AC-1AB0134EBAA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765513E-2D81-4153-8B78-4D5125CAD826}" type="CELLRANGE">
                      <a:rPr lang="en-US"/>
                      <a:pPr/>
                      <a:t>[INTERVALODACÉLULA]</a:t>
                    </a:fld>
                    <a:r>
                      <a:rPr lang="en-US" baseline="0"/>
                      <a:t>
</a:t>
                    </a:r>
                    <a:fld id="{3312517A-C678-4CD0-A5B2-E4B0ED20BAC4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06E-4C52-92A7-305D52E7571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'BASE MENSAL 2022 (GRAFICO)'!$E$9:$E$19</c:f>
              <c:numCache>
                <c:formatCode>0.0%</c:formatCode>
                <c:ptCount val="11"/>
                <c:pt idx="0">
                  <c:v>1.1883273164861612E-2</c:v>
                </c:pt>
                <c:pt idx="1">
                  <c:v>5.5287171229200217E-2</c:v>
                </c:pt>
                <c:pt idx="2">
                  <c:v>1.8486605044649849E-2</c:v>
                </c:pt>
                <c:pt idx="3">
                  <c:v>3.1272043263578651E-2</c:v>
                </c:pt>
                <c:pt idx="4">
                  <c:v>1.7783857729138167E-2</c:v>
                </c:pt>
                <c:pt idx="5">
                  <c:v>3.5146046069817145E-2</c:v>
                </c:pt>
                <c:pt idx="6">
                  <c:v>3.6081544290095614E-2</c:v>
                </c:pt>
                <c:pt idx="7">
                  <c:v>3.7757009345794394E-2</c:v>
                </c:pt>
                <c:pt idx="8">
                  <c:v>1.348849510711452E-2</c:v>
                </c:pt>
                <c:pt idx="9">
                  <c:v>2.3619427811044577E-2</c:v>
                </c:pt>
                <c:pt idx="10">
                  <c:v>4.2987512007684921E-2</c:v>
                </c:pt>
              </c:numCache>
            </c:numRef>
          </c:cat>
          <c:val>
            <c:numRef>
              <c:f>'BASE MENSAL 2022 (GRAFICO)'!$E$9:$E$20</c:f>
              <c:numCache>
                <c:formatCode>0.0%</c:formatCode>
                <c:ptCount val="12"/>
                <c:pt idx="0">
                  <c:v>1.1883273164861612E-2</c:v>
                </c:pt>
                <c:pt idx="1">
                  <c:v>5.5287171229200217E-2</c:v>
                </c:pt>
                <c:pt idx="2">
                  <c:v>1.8486605044649849E-2</c:v>
                </c:pt>
                <c:pt idx="3">
                  <c:v>3.1272043263578651E-2</c:v>
                </c:pt>
                <c:pt idx="4">
                  <c:v>1.7783857729138167E-2</c:v>
                </c:pt>
                <c:pt idx="5">
                  <c:v>3.5146046069817145E-2</c:v>
                </c:pt>
                <c:pt idx="6">
                  <c:v>3.6081544290095614E-2</c:v>
                </c:pt>
                <c:pt idx="7">
                  <c:v>3.7757009345794394E-2</c:v>
                </c:pt>
                <c:pt idx="8">
                  <c:v>1.348849510711452E-2</c:v>
                </c:pt>
                <c:pt idx="9">
                  <c:v>2.3619427811044577E-2</c:v>
                </c:pt>
                <c:pt idx="10">
                  <c:v>4.2987512007684921E-2</c:v>
                </c:pt>
                <c:pt idx="11">
                  <c:v>3.4618047542118627E-2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'BASE MENSAL 2022 (GRAFICO)'!$B$9:$B$20</c15:f>
                <c15:dlblRangeCache>
                  <c:ptCount val="12"/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 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4A1F-4470-A05C-6B2D5A7AA262}"/>
            </c:ext>
          </c:extLst>
        </c:ser>
        <c:ser>
          <c:idx val="1"/>
          <c:order val="1"/>
          <c:tx>
            <c:strRef>
              <c:f>'BASE MENSAL 2022 (GRAFICO)'!$B$9:$B$20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 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6E-4642-A0AC-1AB0134EBAAD}"/>
              </c:ext>
            </c:extLst>
          </c:dPt>
          <c:cat>
            <c:numRef>
              <c:f>'BASE MENSAL 2022 (GRAFICO)'!$E$9:$E$19</c:f>
              <c:numCache>
                <c:formatCode>0.0%</c:formatCode>
                <c:ptCount val="11"/>
                <c:pt idx="0">
                  <c:v>1.1883273164861612E-2</c:v>
                </c:pt>
                <c:pt idx="1">
                  <c:v>5.5287171229200217E-2</c:v>
                </c:pt>
                <c:pt idx="2">
                  <c:v>1.8486605044649849E-2</c:v>
                </c:pt>
                <c:pt idx="3">
                  <c:v>3.1272043263578651E-2</c:v>
                </c:pt>
                <c:pt idx="4">
                  <c:v>1.7783857729138167E-2</c:v>
                </c:pt>
                <c:pt idx="5">
                  <c:v>3.5146046069817145E-2</c:v>
                </c:pt>
                <c:pt idx="6">
                  <c:v>3.6081544290095614E-2</c:v>
                </c:pt>
                <c:pt idx="7">
                  <c:v>3.7757009345794394E-2</c:v>
                </c:pt>
                <c:pt idx="8">
                  <c:v>1.348849510711452E-2</c:v>
                </c:pt>
                <c:pt idx="9">
                  <c:v>2.3619427811044577E-2</c:v>
                </c:pt>
                <c:pt idx="10">
                  <c:v>4.2987512007684921E-2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E-4A1F-4470-A05C-6B2D5A7A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158750</xdr:rowOff>
    </xdr:from>
    <xdr:to>
      <xdr:col>9</xdr:col>
      <xdr:colOff>476249</xdr:colOff>
      <xdr:row>23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5A5E3C-27FE-46CA-96A2-A941E05FC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24</xdr:row>
      <xdr:rowOff>31750</xdr:rowOff>
    </xdr:from>
    <xdr:to>
      <xdr:col>9</xdr:col>
      <xdr:colOff>476471</xdr:colOff>
      <xdr:row>49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040953-919A-4004-9349-F579F2EFD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129266</xdr:colOff>
      <xdr:row>32</xdr:row>
      <xdr:rowOff>54430</xdr:rowOff>
    </xdr:from>
    <xdr:to>
      <xdr:col>19</xdr:col>
      <xdr:colOff>544286</xdr:colOff>
      <xdr:row>49</xdr:row>
      <xdr:rowOff>115662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EAE612-68BB-452C-A8FC-B706670F4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129267</xdr:colOff>
      <xdr:row>16</xdr:row>
      <xdr:rowOff>54429</xdr:rowOff>
    </xdr:from>
    <xdr:to>
      <xdr:col>19</xdr:col>
      <xdr:colOff>550196</xdr:colOff>
      <xdr:row>31</xdr:row>
      <xdr:rowOff>181428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E2DA8D-911E-4452-B100-6A02712E3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129267</xdr:colOff>
      <xdr:row>0</xdr:row>
      <xdr:rowOff>95250</xdr:rowOff>
    </xdr:from>
    <xdr:to>
      <xdr:col>19</xdr:col>
      <xdr:colOff>530679</xdr:colOff>
      <xdr:row>16</xdr:row>
      <xdr:rowOff>31751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77052E9-F1AC-427E-B760-7AEA5D32B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582705</xdr:colOff>
      <xdr:row>0</xdr:row>
      <xdr:rowOff>257735</xdr:rowOff>
    </xdr:from>
    <xdr:to>
      <xdr:col>23</xdr:col>
      <xdr:colOff>434789</xdr:colOff>
      <xdr:row>18</xdr:row>
      <xdr:rowOff>44265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F1D8A2-C345-4D20-88F7-CBA3398D0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145675</xdr:colOff>
      <xdr:row>21</xdr:row>
      <xdr:rowOff>78442</xdr:rowOff>
    </xdr:from>
    <xdr:to>
      <xdr:col>11</xdr:col>
      <xdr:colOff>963706</xdr:colOff>
      <xdr:row>48</xdr:row>
      <xdr:rowOff>100854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9EA5B-4739-4D86-8E68-89138194E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82923</xdr:colOff>
      <xdr:row>21</xdr:row>
      <xdr:rowOff>100852</xdr:rowOff>
    </xdr:from>
    <xdr:to>
      <xdr:col>5</xdr:col>
      <xdr:colOff>997324</xdr:colOff>
      <xdr:row>48</xdr:row>
      <xdr:rowOff>156882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A3893F-3EE8-4657-85D1-1ACEBBF52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2143-1A58-44FD-AC46-90548D488944}">
  <dimension ref="A1:O7"/>
  <sheetViews>
    <sheetView showGridLines="0" zoomScale="85" zoomScaleNormal="85" workbookViewId="0">
      <selection activeCell="B10" sqref="B10"/>
    </sheetView>
  </sheetViews>
  <sheetFormatPr defaultRowHeight="15" x14ac:dyDescent="0.25"/>
  <cols>
    <col min="2" max="2" width="13.28515625" customWidth="1"/>
    <col min="3" max="3" width="14.7109375" customWidth="1"/>
    <col min="4" max="4" width="13.85546875" customWidth="1"/>
    <col min="5" max="5" width="16" customWidth="1"/>
    <col min="6" max="6" width="15.42578125" customWidth="1"/>
    <col min="7" max="7" width="13.85546875" customWidth="1"/>
    <col min="8" max="8" width="12.5703125" customWidth="1"/>
    <col min="9" max="9" width="11.28515625" customWidth="1"/>
    <col min="10" max="10" width="11.7109375" customWidth="1"/>
    <col min="11" max="11" width="14.85546875" customWidth="1"/>
    <col min="12" max="12" width="12.42578125" customWidth="1"/>
    <col min="13" max="13" width="12.28515625" customWidth="1"/>
    <col min="14" max="14" width="12" customWidth="1"/>
    <col min="15" max="15" width="12.5703125" customWidth="1"/>
  </cols>
  <sheetData>
    <row r="1" spans="1:15" ht="45" x14ac:dyDescent="0.25">
      <c r="A1" s="1" t="s">
        <v>0</v>
      </c>
      <c r="B1" s="14" t="s">
        <v>31</v>
      </c>
      <c r="C1" s="13" t="s">
        <v>32</v>
      </c>
      <c r="D1" s="14" t="s">
        <v>33</v>
      </c>
      <c r="E1" s="13" t="s">
        <v>34</v>
      </c>
      <c r="F1" s="14" t="s">
        <v>35</v>
      </c>
      <c r="G1" s="13" t="s">
        <v>36</v>
      </c>
      <c r="H1" s="14" t="s">
        <v>14</v>
      </c>
      <c r="I1" s="14" t="s">
        <v>20</v>
      </c>
      <c r="J1" s="14" t="s">
        <v>29</v>
      </c>
      <c r="K1" s="13" t="s">
        <v>19</v>
      </c>
      <c r="L1" s="13" t="s">
        <v>21</v>
      </c>
      <c r="M1" s="13" t="s">
        <v>27</v>
      </c>
      <c r="N1" s="13" t="s">
        <v>16</v>
      </c>
      <c r="O1" s="13" t="s">
        <v>17</v>
      </c>
    </row>
    <row r="2" spans="1:15" x14ac:dyDescent="0.25">
      <c r="A2" s="3">
        <v>2017</v>
      </c>
      <c r="B2" s="3">
        <v>685</v>
      </c>
      <c r="C2" s="3">
        <v>839</v>
      </c>
      <c r="D2" s="3">
        <v>19</v>
      </c>
      <c r="E2" s="3"/>
      <c r="F2" s="3">
        <v>809</v>
      </c>
      <c r="G2" s="3"/>
      <c r="H2" s="3">
        <v>228</v>
      </c>
      <c r="I2" s="3">
        <v>571</v>
      </c>
      <c r="J2" s="3">
        <v>0</v>
      </c>
      <c r="K2" s="3">
        <v>415</v>
      </c>
      <c r="L2" s="3">
        <v>238</v>
      </c>
      <c r="M2" s="3">
        <v>0</v>
      </c>
      <c r="N2" s="9">
        <f>H2+I2+J2</f>
        <v>799</v>
      </c>
      <c r="O2" s="9">
        <f>K2+L2+M2</f>
        <v>653</v>
      </c>
    </row>
    <row r="3" spans="1:15" x14ac:dyDescent="0.25">
      <c r="A3" s="3">
        <v>2018</v>
      </c>
      <c r="B3" s="3">
        <v>729</v>
      </c>
      <c r="C3" s="3">
        <v>847</v>
      </c>
      <c r="D3" s="3">
        <v>46</v>
      </c>
      <c r="E3" s="3">
        <v>779</v>
      </c>
      <c r="F3" s="3">
        <v>861</v>
      </c>
      <c r="G3" s="3">
        <v>59</v>
      </c>
      <c r="H3" s="3">
        <v>433</v>
      </c>
      <c r="I3" s="3">
        <v>603</v>
      </c>
      <c r="J3" s="3">
        <v>0</v>
      </c>
      <c r="K3" s="3">
        <v>346</v>
      </c>
      <c r="L3" s="3">
        <v>258</v>
      </c>
      <c r="M3" s="3">
        <v>59</v>
      </c>
      <c r="N3" s="9">
        <f t="shared" ref="N3:N7" si="0">H3+I3+J3</f>
        <v>1036</v>
      </c>
      <c r="O3" s="9">
        <f t="shared" ref="O3:O7" si="1">K3+L3+M3</f>
        <v>663</v>
      </c>
    </row>
    <row r="4" spans="1:15" x14ac:dyDescent="0.25">
      <c r="A4" s="3">
        <v>2019</v>
      </c>
      <c r="B4" s="3">
        <v>2041</v>
      </c>
      <c r="C4" s="3">
        <v>938</v>
      </c>
      <c r="D4" s="3">
        <v>20</v>
      </c>
      <c r="E4" s="3">
        <v>1154</v>
      </c>
      <c r="F4" s="3">
        <v>792</v>
      </c>
      <c r="G4" s="3">
        <v>16</v>
      </c>
      <c r="H4" s="3">
        <v>701</v>
      </c>
      <c r="I4" s="3">
        <v>478</v>
      </c>
      <c r="J4" s="3">
        <v>0</v>
      </c>
      <c r="K4" s="3">
        <v>453</v>
      </c>
      <c r="L4" s="3">
        <v>314</v>
      </c>
      <c r="M4" s="3">
        <v>16</v>
      </c>
      <c r="N4" s="9">
        <f t="shared" si="0"/>
        <v>1179</v>
      </c>
      <c r="O4" s="9">
        <f t="shared" si="1"/>
        <v>783</v>
      </c>
    </row>
    <row r="5" spans="1:15" x14ac:dyDescent="0.25">
      <c r="A5" s="3">
        <v>2020</v>
      </c>
      <c r="B5" s="3">
        <v>1606</v>
      </c>
      <c r="C5" s="3">
        <v>479</v>
      </c>
      <c r="D5" s="3">
        <v>17</v>
      </c>
      <c r="E5" s="3">
        <v>1448</v>
      </c>
      <c r="F5" s="3">
        <v>467</v>
      </c>
      <c r="G5" s="3">
        <v>12</v>
      </c>
      <c r="H5" s="3">
        <v>737</v>
      </c>
      <c r="I5" s="3">
        <v>260</v>
      </c>
      <c r="J5" s="3">
        <v>0</v>
      </c>
      <c r="K5" s="3">
        <v>711</v>
      </c>
      <c r="L5" s="3">
        <v>207</v>
      </c>
      <c r="M5" s="3">
        <v>12</v>
      </c>
      <c r="N5" s="9">
        <f t="shared" si="0"/>
        <v>997</v>
      </c>
      <c r="O5" s="9">
        <f t="shared" si="1"/>
        <v>930</v>
      </c>
    </row>
    <row r="6" spans="1:15" x14ac:dyDescent="0.25">
      <c r="A6" s="3">
        <v>2021</v>
      </c>
      <c r="B6" s="3">
        <v>3675</v>
      </c>
      <c r="C6" s="3">
        <v>971</v>
      </c>
      <c r="D6" s="3">
        <v>12</v>
      </c>
      <c r="E6" s="3">
        <v>4580</v>
      </c>
      <c r="F6" s="3">
        <v>619</v>
      </c>
      <c r="G6" s="3">
        <v>6</v>
      </c>
      <c r="H6" s="3">
        <v>1450</v>
      </c>
      <c r="I6" s="3">
        <v>247</v>
      </c>
      <c r="J6" s="3">
        <v>0</v>
      </c>
      <c r="K6" s="3">
        <v>3130</v>
      </c>
      <c r="L6" s="3">
        <v>372</v>
      </c>
      <c r="M6" s="3">
        <v>6</v>
      </c>
      <c r="N6" s="9">
        <f t="shared" si="0"/>
        <v>1697</v>
      </c>
      <c r="O6" s="9">
        <f t="shared" si="1"/>
        <v>3508</v>
      </c>
    </row>
    <row r="7" spans="1:15" x14ac:dyDescent="0.25">
      <c r="A7" s="3">
        <v>2022</v>
      </c>
      <c r="B7" s="3">
        <v>2184</v>
      </c>
      <c r="C7" s="3">
        <v>1787</v>
      </c>
      <c r="D7" s="3">
        <v>29</v>
      </c>
      <c r="E7" s="3">
        <v>1930</v>
      </c>
      <c r="F7" s="3">
        <v>1887</v>
      </c>
      <c r="G7" s="3">
        <v>15</v>
      </c>
      <c r="H7" s="3">
        <v>1142</v>
      </c>
      <c r="I7" s="3">
        <v>1008</v>
      </c>
      <c r="J7" s="3">
        <v>0</v>
      </c>
      <c r="K7" s="3">
        <v>788</v>
      </c>
      <c r="L7" s="3">
        <v>879</v>
      </c>
      <c r="M7" s="3">
        <v>27</v>
      </c>
      <c r="N7" s="9">
        <f t="shared" si="0"/>
        <v>2150</v>
      </c>
      <c r="O7" s="9">
        <f t="shared" si="1"/>
        <v>1694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C42E-0370-4D72-BAC2-A5E61D0EEA42}">
  <dimension ref="A1"/>
  <sheetViews>
    <sheetView showGridLines="0" topLeftCell="A22" zoomScale="70" zoomScaleNormal="70" workbookViewId="0">
      <selection activeCell="X44" sqref="X4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2552-68B3-4A25-9DCE-133DE3CD47E0}">
  <dimension ref="A1:N28"/>
  <sheetViews>
    <sheetView showGridLines="0" zoomScale="85" zoomScaleNormal="85" workbookViewId="0">
      <selection activeCell="G16" sqref="G16"/>
    </sheetView>
  </sheetViews>
  <sheetFormatPr defaultRowHeight="15" x14ac:dyDescent="0.25"/>
  <cols>
    <col min="1" max="1" width="15.140625" customWidth="1"/>
    <col min="2" max="2" width="14.5703125" customWidth="1"/>
    <col min="3" max="3" width="17.28515625" customWidth="1"/>
    <col min="4" max="4" width="19.5703125" customWidth="1"/>
    <col min="5" max="5" width="16" customWidth="1"/>
    <col min="6" max="6" width="16.7109375" customWidth="1"/>
    <col min="7" max="7" width="19" customWidth="1"/>
    <col min="8" max="8" width="20.28515625" customWidth="1"/>
    <col min="9" max="10" width="25.5703125" customWidth="1"/>
    <col min="11" max="11" width="14.7109375" customWidth="1"/>
    <col min="12" max="12" width="23" customWidth="1"/>
    <col min="13" max="13" width="27.140625" customWidth="1"/>
    <col min="14" max="14" width="23.85546875" customWidth="1"/>
    <col min="15" max="16" width="9.140625" customWidth="1"/>
  </cols>
  <sheetData>
    <row r="1" spans="1:14" ht="21.75" customHeight="1" x14ac:dyDescent="0.25">
      <c r="A1" s="6" t="s">
        <v>1</v>
      </c>
      <c r="B1" s="6" t="s">
        <v>18</v>
      </c>
      <c r="C1" s="6" t="s">
        <v>14</v>
      </c>
      <c r="D1" s="6" t="s">
        <v>19</v>
      </c>
      <c r="E1" s="6" t="s">
        <v>20</v>
      </c>
      <c r="F1" s="6" t="s">
        <v>21</v>
      </c>
      <c r="G1" s="6" t="s">
        <v>29</v>
      </c>
      <c r="H1" s="6" t="s">
        <v>27</v>
      </c>
      <c r="I1" s="6" t="s">
        <v>16</v>
      </c>
      <c r="J1" s="6" t="s">
        <v>17</v>
      </c>
      <c r="K1" s="6" t="s">
        <v>15</v>
      </c>
      <c r="L1" s="6" t="s">
        <v>22</v>
      </c>
      <c r="M1" s="6" t="s">
        <v>23</v>
      </c>
      <c r="N1" s="10"/>
    </row>
    <row r="2" spans="1:14" x14ac:dyDescent="0.25">
      <c r="A2" s="6" t="s">
        <v>2</v>
      </c>
      <c r="B2" s="3">
        <v>6648</v>
      </c>
      <c r="C2" s="3">
        <v>6</v>
      </c>
      <c r="D2" s="3">
        <v>2</v>
      </c>
      <c r="E2" s="3">
        <v>81</v>
      </c>
      <c r="F2" s="3">
        <v>77</v>
      </c>
      <c r="G2" s="3"/>
      <c r="H2" s="3"/>
      <c r="I2" s="3">
        <f>C2+E2+G2</f>
        <v>87</v>
      </c>
      <c r="J2" s="3">
        <f>D2+F2+H2</f>
        <v>79</v>
      </c>
      <c r="K2" s="3">
        <f t="shared" ref="K2:K13" si="0">SUM(C2:H2)</f>
        <v>166</v>
      </c>
      <c r="L2" s="4">
        <f t="shared" ref="L2:L13" si="1">I2/B2</f>
        <v>1.3086642599277979E-2</v>
      </c>
      <c r="M2" s="4">
        <f t="shared" ref="M2:M13" si="2">J2/B2</f>
        <v>1.1883273164861612E-2</v>
      </c>
      <c r="N2" s="11"/>
    </row>
    <row r="3" spans="1:14" x14ac:dyDescent="0.25">
      <c r="A3" s="6" t="s">
        <v>3</v>
      </c>
      <c r="B3" s="3">
        <v>5589</v>
      </c>
      <c r="C3" s="3">
        <v>107</v>
      </c>
      <c r="D3" s="3">
        <v>193</v>
      </c>
      <c r="E3" s="3">
        <v>52</v>
      </c>
      <c r="F3" s="3">
        <v>116</v>
      </c>
      <c r="G3" s="3"/>
      <c r="H3" s="3"/>
      <c r="I3" s="3">
        <f t="shared" ref="I3:I13" si="3">C3+E3+G3</f>
        <v>159</v>
      </c>
      <c r="J3" s="3">
        <f t="shared" ref="J3:J13" si="4">D3+F3+H3</f>
        <v>309</v>
      </c>
      <c r="K3" s="3">
        <f t="shared" si="0"/>
        <v>468</v>
      </c>
      <c r="L3" s="4">
        <f t="shared" si="1"/>
        <v>2.8448738593666131E-2</v>
      </c>
      <c r="M3" s="4">
        <f t="shared" si="2"/>
        <v>5.5287171229200217E-2</v>
      </c>
      <c r="N3" s="11"/>
    </row>
    <row r="4" spans="1:14" x14ac:dyDescent="0.25">
      <c r="A4" s="6" t="s">
        <v>4</v>
      </c>
      <c r="B4" s="3">
        <v>6383</v>
      </c>
      <c r="C4" s="3">
        <v>28</v>
      </c>
      <c r="D4" s="3">
        <v>24</v>
      </c>
      <c r="E4" s="3">
        <v>61</v>
      </c>
      <c r="F4" s="3">
        <v>86</v>
      </c>
      <c r="G4" s="3"/>
      <c r="H4" s="3">
        <v>8</v>
      </c>
      <c r="I4" s="3">
        <f t="shared" si="3"/>
        <v>89</v>
      </c>
      <c r="J4" s="3">
        <f t="shared" si="4"/>
        <v>118</v>
      </c>
      <c r="K4" s="3">
        <f t="shared" si="0"/>
        <v>207</v>
      </c>
      <c r="L4" s="4">
        <f t="shared" si="1"/>
        <v>1.3943286855710481E-2</v>
      </c>
      <c r="M4" s="4">
        <f t="shared" si="2"/>
        <v>1.8486605044649849E-2</v>
      </c>
      <c r="N4" s="11"/>
    </row>
    <row r="5" spans="1:14" x14ac:dyDescent="0.25">
      <c r="A5" s="6" t="s">
        <v>5</v>
      </c>
      <c r="B5" s="3">
        <v>4253</v>
      </c>
      <c r="C5" s="3">
        <v>165</v>
      </c>
      <c r="D5" s="3">
        <v>105</v>
      </c>
      <c r="E5" s="3">
        <v>133</v>
      </c>
      <c r="F5" s="3">
        <v>28</v>
      </c>
      <c r="G5" s="3"/>
      <c r="H5" s="3"/>
      <c r="I5" s="3">
        <f t="shared" si="3"/>
        <v>298</v>
      </c>
      <c r="J5" s="3">
        <f t="shared" si="4"/>
        <v>133</v>
      </c>
      <c r="K5" s="3">
        <f t="shared" si="0"/>
        <v>431</v>
      </c>
      <c r="L5" s="4">
        <f t="shared" si="1"/>
        <v>7.006818716200329E-2</v>
      </c>
      <c r="M5" s="4">
        <f t="shared" si="2"/>
        <v>3.1272043263578651E-2</v>
      </c>
      <c r="N5" s="11"/>
    </row>
    <row r="6" spans="1:14" x14ac:dyDescent="0.25">
      <c r="A6" s="6" t="s">
        <v>6</v>
      </c>
      <c r="B6" s="3">
        <v>5848</v>
      </c>
      <c r="C6" s="3">
        <v>60</v>
      </c>
      <c r="D6" s="3">
        <v>49</v>
      </c>
      <c r="E6" s="3">
        <v>107</v>
      </c>
      <c r="F6" s="3">
        <v>54</v>
      </c>
      <c r="G6" s="3"/>
      <c r="H6" s="3">
        <v>1</v>
      </c>
      <c r="I6" s="3">
        <f t="shared" si="3"/>
        <v>167</v>
      </c>
      <c r="J6" s="3">
        <f t="shared" si="4"/>
        <v>104</v>
      </c>
      <c r="K6" s="3">
        <f t="shared" si="0"/>
        <v>271</v>
      </c>
      <c r="L6" s="4">
        <f t="shared" si="1"/>
        <v>2.8556771545827635E-2</v>
      </c>
      <c r="M6" s="4">
        <f t="shared" si="2"/>
        <v>1.7783857729138167E-2</v>
      </c>
      <c r="N6" s="11"/>
    </row>
    <row r="7" spans="1:14" x14ac:dyDescent="0.25">
      <c r="A7" s="6" t="s">
        <v>7</v>
      </c>
      <c r="B7" s="3">
        <v>4211</v>
      </c>
      <c r="C7" s="3">
        <v>267</v>
      </c>
      <c r="D7" s="3">
        <v>79</v>
      </c>
      <c r="E7" s="3">
        <v>95</v>
      </c>
      <c r="F7" s="3">
        <v>65</v>
      </c>
      <c r="G7" s="3"/>
      <c r="H7" s="3">
        <v>4</v>
      </c>
      <c r="I7" s="3">
        <f t="shared" si="3"/>
        <v>362</v>
      </c>
      <c r="J7" s="3">
        <f t="shared" si="4"/>
        <v>148</v>
      </c>
      <c r="K7" s="3">
        <f t="shared" si="0"/>
        <v>510</v>
      </c>
      <c r="L7" s="4">
        <f t="shared" si="1"/>
        <v>8.5965328900498697E-2</v>
      </c>
      <c r="M7" s="4">
        <f t="shared" si="2"/>
        <v>3.5146046069817145E-2</v>
      </c>
      <c r="N7" s="11"/>
    </row>
    <row r="8" spans="1:14" x14ac:dyDescent="0.25">
      <c r="A8" s="6" t="s">
        <v>8</v>
      </c>
      <c r="B8" s="3">
        <v>5543</v>
      </c>
      <c r="C8" s="3">
        <v>225</v>
      </c>
      <c r="D8" s="3">
        <v>114</v>
      </c>
      <c r="E8" s="3">
        <v>70</v>
      </c>
      <c r="F8" s="3">
        <v>84</v>
      </c>
      <c r="G8" s="3"/>
      <c r="H8" s="3">
        <v>2</v>
      </c>
      <c r="I8" s="3">
        <f t="shared" si="3"/>
        <v>295</v>
      </c>
      <c r="J8" s="3">
        <f t="shared" si="4"/>
        <v>200</v>
      </c>
      <c r="K8" s="3">
        <f t="shared" si="0"/>
        <v>495</v>
      </c>
      <c r="L8" s="4">
        <f t="shared" si="1"/>
        <v>5.3220277827891037E-2</v>
      </c>
      <c r="M8" s="4">
        <f t="shared" si="2"/>
        <v>3.6081544290095614E-2</v>
      </c>
      <c r="N8" s="11"/>
    </row>
    <row r="9" spans="1:14" x14ac:dyDescent="0.25">
      <c r="A9" s="6" t="s">
        <v>9</v>
      </c>
      <c r="B9" s="3">
        <v>2675</v>
      </c>
      <c r="C9" s="3">
        <v>40</v>
      </c>
      <c r="D9" s="3">
        <v>46</v>
      </c>
      <c r="E9" s="3">
        <v>99</v>
      </c>
      <c r="F9" s="3">
        <v>55</v>
      </c>
      <c r="G9" s="3"/>
      <c r="H9" s="3">
        <v>0</v>
      </c>
      <c r="I9" s="3">
        <f t="shared" si="3"/>
        <v>139</v>
      </c>
      <c r="J9" s="3">
        <f t="shared" si="4"/>
        <v>101</v>
      </c>
      <c r="K9" s="3">
        <f t="shared" si="0"/>
        <v>240</v>
      </c>
      <c r="L9" s="4">
        <f t="shared" si="1"/>
        <v>5.1962616822429905E-2</v>
      </c>
      <c r="M9" s="4">
        <f t="shared" si="2"/>
        <v>3.7757009345794394E-2</v>
      </c>
      <c r="N9" s="11"/>
    </row>
    <row r="10" spans="1:14" x14ac:dyDescent="0.25">
      <c r="A10" s="6" t="s">
        <v>10</v>
      </c>
      <c r="B10" s="3">
        <v>7562</v>
      </c>
      <c r="C10" s="3">
        <v>23</v>
      </c>
      <c r="D10" s="3">
        <v>3</v>
      </c>
      <c r="E10" s="3">
        <v>67</v>
      </c>
      <c r="F10" s="3">
        <v>89</v>
      </c>
      <c r="G10" s="3"/>
      <c r="H10" s="3">
        <v>10</v>
      </c>
      <c r="I10" s="3">
        <f t="shared" si="3"/>
        <v>90</v>
      </c>
      <c r="J10" s="3">
        <f t="shared" si="4"/>
        <v>102</v>
      </c>
      <c r="K10" s="3">
        <f t="shared" si="0"/>
        <v>192</v>
      </c>
      <c r="L10" s="4">
        <f t="shared" si="1"/>
        <v>1.190161332980693E-2</v>
      </c>
      <c r="M10" s="4">
        <f t="shared" si="2"/>
        <v>1.348849510711452E-2</v>
      </c>
      <c r="N10" s="11"/>
    </row>
    <row r="11" spans="1:14" x14ac:dyDescent="0.25">
      <c r="A11" s="6" t="s">
        <v>11</v>
      </c>
      <c r="B11" s="3">
        <v>3006</v>
      </c>
      <c r="C11" s="3">
        <v>1</v>
      </c>
      <c r="D11" s="3">
        <v>3</v>
      </c>
      <c r="E11" s="3">
        <v>95</v>
      </c>
      <c r="F11" s="3">
        <v>66</v>
      </c>
      <c r="G11" s="3"/>
      <c r="H11" s="3">
        <v>2</v>
      </c>
      <c r="I11" s="3">
        <f t="shared" si="3"/>
        <v>96</v>
      </c>
      <c r="J11" s="3">
        <f t="shared" si="4"/>
        <v>71</v>
      </c>
      <c r="K11" s="3">
        <f t="shared" si="0"/>
        <v>167</v>
      </c>
      <c r="L11" s="4">
        <f t="shared" si="1"/>
        <v>3.1936127744510975E-2</v>
      </c>
      <c r="M11" s="4">
        <f t="shared" si="2"/>
        <v>2.3619427811044577E-2</v>
      </c>
      <c r="N11" s="11"/>
    </row>
    <row r="12" spans="1:14" x14ac:dyDescent="0.25">
      <c r="A12" s="6" t="s">
        <v>12</v>
      </c>
      <c r="B12" s="5">
        <v>4164</v>
      </c>
      <c r="C12" s="3">
        <v>99</v>
      </c>
      <c r="D12" s="3">
        <v>104</v>
      </c>
      <c r="E12" s="3">
        <v>75</v>
      </c>
      <c r="F12" s="3">
        <v>75</v>
      </c>
      <c r="G12" s="3"/>
      <c r="H12" s="3"/>
      <c r="I12" s="3">
        <f t="shared" si="3"/>
        <v>174</v>
      </c>
      <c r="J12" s="3">
        <f t="shared" si="4"/>
        <v>179</v>
      </c>
      <c r="K12" s="3">
        <f t="shared" si="0"/>
        <v>353</v>
      </c>
      <c r="L12" s="4">
        <f t="shared" si="1"/>
        <v>4.1786743515850142E-2</v>
      </c>
      <c r="M12" s="4">
        <f t="shared" si="2"/>
        <v>4.2987512007684921E-2</v>
      </c>
      <c r="N12" s="11"/>
    </row>
    <row r="13" spans="1:14" x14ac:dyDescent="0.25">
      <c r="A13" s="6" t="s">
        <v>13</v>
      </c>
      <c r="B13" s="3">
        <v>4333</v>
      </c>
      <c r="C13" s="3">
        <v>121</v>
      </c>
      <c r="D13" s="3">
        <v>66</v>
      </c>
      <c r="E13" s="3">
        <v>73</v>
      </c>
      <c r="F13" s="3">
        <v>84</v>
      </c>
      <c r="G13" s="3"/>
      <c r="H13" s="3"/>
      <c r="I13" s="3">
        <f t="shared" si="3"/>
        <v>194</v>
      </c>
      <c r="J13" s="3">
        <f t="shared" si="4"/>
        <v>150</v>
      </c>
      <c r="K13" s="3">
        <f t="shared" si="0"/>
        <v>344</v>
      </c>
      <c r="L13" s="4">
        <f t="shared" si="1"/>
        <v>4.4772674821140085E-2</v>
      </c>
      <c r="M13" s="4">
        <f t="shared" si="2"/>
        <v>3.4618047542118627E-2</v>
      </c>
      <c r="N13" s="11"/>
    </row>
    <row r="15" spans="1:14" x14ac:dyDescent="0.25">
      <c r="L15" s="1" t="s">
        <v>25</v>
      </c>
      <c r="M15" s="2" t="s">
        <v>26</v>
      </c>
    </row>
    <row r="16" spans="1:14" x14ac:dyDescent="0.25">
      <c r="A16" s="5"/>
      <c r="B16" s="5"/>
      <c r="L16" s="12">
        <f>AVERAGE(L2:L13)</f>
        <v>3.9637417476551112E-2</v>
      </c>
      <c r="M16" s="12">
        <f>AVERAGE(M2:M13)</f>
        <v>2.9867586050424857E-2</v>
      </c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5"/>
      <c r="B20" s="5"/>
    </row>
    <row r="21" spans="1:2" x14ac:dyDescent="0.25">
      <c r="A21" s="5"/>
      <c r="B21" s="5"/>
    </row>
    <row r="22" spans="1:2" x14ac:dyDescent="0.25">
      <c r="A22" s="5"/>
      <c r="B22" s="5"/>
    </row>
    <row r="23" spans="1:2" x14ac:dyDescent="0.25">
      <c r="A23" s="5"/>
      <c r="B23" s="5"/>
    </row>
    <row r="24" spans="1:2" x14ac:dyDescent="0.25">
      <c r="A24" s="5"/>
      <c r="B24" s="5"/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8720-7F38-42B6-9DF8-FD1907D51419}">
  <dimension ref="A5:R21"/>
  <sheetViews>
    <sheetView showGridLines="0" tabSelected="1" showRuler="0" view="pageLayout" zoomScale="55" zoomScaleNormal="100" zoomScalePageLayoutView="55" workbookViewId="0">
      <selection activeCell="N23" sqref="N23"/>
    </sheetView>
  </sheetViews>
  <sheetFormatPr defaultRowHeight="15" x14ac:dyDescent="0.25"/>
  <cols>
    <col min="2" max="2" width="10.7109375" customWidth="1"/>
    <col min="3" max="3" width="14.42578125" customWidth="1"/>
    <col min="4" max="4" width="17.7109375" customWidth="1"/>
    <col min="5" max="5" width="23.140625" customWidth="1"/>
    <col min="6" max="6" width="15.42578125" customWidth="1"/>
    <col min="8" max="8" width="12.140625" customWidth="1"/>
    <col min="9" max="9" width="10.85546875" customWidth="1"/>
    <col min="10" max="10" width="18" customWidth="1"/>
    <col min="11" max="11" width="24.140625" customWidth="1"/>
    <col min="12" max="12" width="16.85546875" customWidth="1"/>
  </cols>
  <sheetData>
    <row r="5" spans="1:16" x14ac:dyDescent="0.25">
      <c r="A5" s="22" t="s">
        <v>24</v>
      </c>
      <c r="B5" s="23"/>
      <c r="C5" s="23"/>
      <c r="D5" s="23"/>
      <c r="E5" s="23"/>
      <c r="F5" s="23"/>
      <c r="G5" s="7"/>
      <c r="H5" s="22" t="s">
        <v>24</v>
      </c>
      <c r="I5" s="22"/>
      <c r="J5" s="22"/>
      <c r="K5" s="22"/>
      <c r="L5" s="7"/>
      <c r="M5" s="7"/>
      <c r="N5" s="7"/>
      <c r="O5" s="7"/>
      <c r="P5" s="7"/>
    </row>
    <row r="6" spans="1:16" x14ac:dyDescent="0.25">
      <c r="A6" s="23"/>
      <c r="B6" s="23"/>
      <c r="C6" s="23"/>
      <c r="D6" s="23"/>
      <c r="E6" s="23"/>
      <c r="F6" s="23"/>
      <c r="G6" s="7"/>
      <c r="H6" s="22"/>
      <c r="I6" s="22"/>
      <c r="J6" s="22"/>
      <c r="K6" s="22"/>
      <c r="L6" s="7"/>
      <c r="M6" s="7"/>
      <c r="N6" s="7"/>
      <c r="O6" s="7"/>
      <c r="P6" s="7"/>
    </row>
    <row r="7" spans="1:16" x14ac:dyDescent="0.25">
      <c r="A7" s="23"/>
      <c r="B7" s="23"/>
      <c r="C7" s="23"/>
      <c r="D7" s="23"/>
      <c r="E7" s="23"/>
      <c r="F7" s="23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x14ac:dyDescent="0.25">
      <c r="B8" s="6" t="s">
        <v>1</v>
      </c>
      <c r="C8" s="6" t="s">
        <v>18</v>
      </c>
      <c r="D8" s="6" t="s">
        <v>17</v>
      </c>
      <c r="E8" s="6" t="s">
        <v>23</v>
      </c>
      <c r="F8" s="13" t="s">
        <v>28</v>
      </c>
      <c r="H8" s="6" t="s">
        <v>1</v>
      </c>
      <c r="I8" s="6" t="s">
        <v>18</v>
      </c>
      <c r="J8" s="6" t="s">
        <v>16</v>
      </c>
      <c r="K8" s="6" t="s">
        <v>22</v>
      </c>
      <c r="L8" s="13" t="s">
        <v>28</v>
      </c>
    </row>
    <row r="9" spans="1:16" x14ac:dyDescent="0.25">
      <c r="B9" s="6" t="s">
        <v>2</v>
      </c>
      <c r="C9" s="3">
        <v>6648</v>
      </c>
      <c r="D9" s="3">
        <v>79</v>
      </c>
      <c r="E9" s="4">
        <f>D9/C9</f>
        <v>1.1883273164861612E-2</v>
      </c>
      <c r="F9" s="19">
        <f>AVERAGE(E9:E20)</f>
        <v>2.9867586050424857E-2</v>
      </c>
      <c r="H9" s="6" t="s">
        <v>2</v>
      </c>
      <c r="I9" s="3">
        <v>6648</v>
      </c>
      <c r="J9" s="3">
        <v>87</v>
      </c>
      <c r="K9" s="8">
        <f>J9/I9</f>
        <v>1.3086642599277979E-2</v>
      </c>
      <c r="L9" s="16">
        <f>AVERAGE(K9:K20)</f>
        <v>3.9637417476551112E-2</v>
      </c>
    </row>
    <row r="10" spans="1:16" x14ac:dyDescent="0.25">
      <c r="B10" s="6" t="s">
        <v>3</v>
      </c>
      <c r="C10" s="3">
        <v>5589</v>
      </c>
      <c r="D10" s="3">
        <v>309</v>
      </c>
      <c r="E10" s="4">
        <f t="shared" ref="E10:E20" si="0">D10/C10</f>
        <v>5.5287171229200217E-2</v>
      </c>
      <c r="F10" s="20"/>
      <c r="H10" s="6" t="s">
        <v>3</v>
      </c>
      <c r="I10" s="3">
        <v>5589</v>
      </c>
      <c r="J10" s="3">
        <v>159</v>
      </c>
      <c r="K10" s="8">
        <f t="shared" ref="K10:K20" si="1">J10/I10</f>
        <v>2.8448738593666131E-2</v>
      </c>
      <c r="L10" s="17"/>
    </row>
    <row r="11" spans="1:16" x14ac:dyDescent="0.25">
      <c r="B11" s="6" t="s">
        <v>4</v>
      </c>
      <c r="C11" s="3">
        <v>6383</v>
      </c>
      <c r="D11" s="3">
        <v>118</v>
      </c>
      <c r="E11" s="4">
        <f t="shared" si="0"/>
        <v>1.8486605044649849E-2</v>
      </c>
      <c r="F11" s="20"/>
      <c r="H11" s="6" t="s">
        <v>4</v>
      </c>
      <c r="I11" s="3">
        <v>6383</v>
      </c>
      <c r="J11" s="3">
        <v>89</v>
      </c>
      <c r="K11" s="8">
        <f t="shared" si="1"/>
        <v>1.3943286855710481E-2</v>
      </c>
      <c r="L11" s="17"/>
    </row>
    <row r="12" spans="1:16" x14ac:dyDescent="0.25">
      <c r="B12" s="6" t="s">
        <v>5</v>
      </c>
      <c r="C12" s="3">
        <v>4253</v>
      </c>
      <c r="D12" s="3">
        <v>133</v>
      </c>
      <c r="E12" s="4">
        <f t="shared" si="0"/>
        <v>3.1272043263578651E-2</v>
      </c>
      <c r="F12" s="20"/>
      <c r="H12" s="6" t="s">
        <v>5</v>
      </c>
      <c r="I12" s="3">
        <v>4253</v>
      </c>
      <c r="J12" s="3">
        <v>298</v>
      </c>
      <c r="K12" s="8">
        <f t="shared" si="1"/>
        <v>7.006818716200329E-2</v>
      </c>
      <c r="L12" s="17"/>
    </row>
    <row r="13" spans="1:16" x14ac:dyDescent="0.25">
      <c r="B13" s="6" t="s">
        <v>6</v>
      </c>
      <c r="C13" s="3">
        <v>5848</v>
      </c>
      <c r="D13" s="3">
        <v>104</v>
      </c>
      <c r="E13" s="4">
        <f t="shared" si="0"/>
        <v>1.7783857729138167E-2</v>
      </c>
      <c r="F13" s="20"/>
      <c r="H13" s="6" t="s">
        <v>6</v>
      </c>
      <c r="I13" s="3">
        <v>5848</v>
      </c>
      <c r="J13" s="3">
        <v>167</v>
      </c>
      <c r="K13" s="8">
        <f t="shared" si="1"/>
        <v>2.8556771545827635E-2</v>
      </c>
      <c r="L13" s="17"/>
    </row>
    <row r="14" spans="1:16" x14ac:dyDescent="0.25">
      <c r="B14" s="6" t="s">
        <v>7</v>
      </c>
      <c r="C14" s="3">
        <v>4211</v>
      </c>
      <c r="D14" s="3">
        <v>148</v>
      </c>
      <c r="E14" s="4">
        <f t="shared" si="0"/>
        <v>3.5146046069817145E-2</v>
      </c>
      <c r="F14" s="20"/>
      <c r="H14" s="6" t="s">
        <v>7</v>
      </c>
      <c r="I14" s="3">
        <v>4211</v>
      </c>
      <c r="J14" s="3">
        <v>362</v>
      </c>
      <c r="K14" s="8">
        <f t="shared" si="1"/>
        <v>8.5965328900498697E-2</v>
      </c>
      <c r="L14" s="17"/>
    </row>
    <row r="15" spans="1:16" x14ac:dyDescent="0.25">
      <c r="B15" s="6" t="s">
        <v>8</v>
      </c>
      <c r="C15" s="3">
        <v>5543</v>
      </c>
      <c r="D15" s="3">
        <v>200</v>
      </c>
      <c r="E15" s="4">
        <f t="shared" si="0"/>
        <v>3.6081544290095614E-2</v>
      </c>
      <c r="F15" s="20"/>
      <c r="H15" s="6" t="s">
        <v>8</v>
      </c>
      <c r="I15" s="3">
        <v>5543</v>
      </c>
      <c r="J15" s="3">
        <v>295</v>
      </c>
      <c r="K15" s="8">
        <f t="shared" si="1"/>
        <v>5.3220277827891037E-2</v>
      </c>
      <c r="L15" s="17"/>
    </row>
    <row r="16" spans="1:16" x14ac:dyDescent="0.25">
      <c r="B16" s="6" t="s">
        <v>9</v>
      </c>
      <c r="C16" s="3">
        <v>2675</v>
      </c>
      <c r="D16" s="3">
        <v>101</v>
      </c>
      <c r="E16" s="4">
        <f t="shared" si="0"/>
        <v>3.7757009345794394E-2</v>
      </c>
      <c r="F16" s="20"/>
      <c r="H16" s="6" t="s">
        <v>9</v>
      </c>
      <c r="I16" s="3">
        <v>2675</v>
      </c>
      <c r="J16" s="3">
        <v>139</v>
      </c>
      <c r="K16" s="8">
        <f t="shared" si="1"/>
        <v>5.1962616822429905E-2</v>
      </c>
      <c r="L16" s="17"/>
    </row>
    <row r="17" spans="2:18" x14ac:dyDescent="0.25">
      <c r="B17" s="6" t="s">
        <v>10</v>
      </c>
      <c r="C17" s="3">
        <v>7562</v>
      </c>
      <c r="D17" s="3">
        <v>102</v>
      </c>
      <c r="E17" s="4">
        <f t="shared" si="0"/>
        <v>1.348849510711452E-2</v>
      </c>
      <c r="F17" s="20"/>
      <c r="H17" s="6" t="s">
        <v>10</v>
      </c>
      <c r="I17" s="3">
        <v>7562</v>
      </c>
      <c r="J17" s="3">
        <v>90</v>
      </c>
      <c r="K17" s="8">
        <f t="shared" si="1"/>
        <v>1.190161332980693E-2</v>
      </c>
      <c r="L17" s="17"/>
    </row>
    <row r="18" spans="2:18" x14ac:dyDescent="0.25">
      <c r="B18" s="6" t="s">
        <v>11</v>
      </c>
      <c r="C18" s="3">
        <v>3006</v>
      </c>
      <c r="D18" s="3">
        <v>71</v>
      </c>
      <c r="E18" s="4">
        <f t="shared" si="0"/>
        <v>2.3619427811044577E-2</v>
      </c>
      <c r="F18" s="20"/>
      <c r="H18" s="6" t="s">
        <v>11</v>
      </c>
      <c r="I18" s="3">
        <v>3006</v>
      </c>
      <c r="J18" s="3">
        <v>96</v>
      </c>
      <c r="K18" s="8">
        <f t="shared" si="1"/>
        <v>3.1936127744510975E-2</v>
      </c>
      <c r="L18" s="17"/>
    </row>
    <row r="19" spans="2:18" x14ac:dyDescent="0.25">
      <c r="B19" s="6" t="s">
        <v>12</v>
      </c>
      <c r="C19" s="15">
        <v>4164</v>
      </c>
      <c r="D19" s="3">
        <v>179</v>
      </c>
      <c r="E19" s="4">
        <f t="shared" si="0"/>
        <v>4.2987512007684921E-2</v>
      </c>
      <c r="F19" s="20"/>
      <c r="H19" s="6" t="s">
        <v>12</v>
      </c>
      <c r="I19" s="15">
        <v>4164</v>
      </c>
      <c r="J19" s="3">
        <v>174</v>
      </c>
      <c r="K19" s="8">
        <f t="shared" si="1"/>
        <v>4.1786743515850142E-2</v>
      </c>
      <c r="L19" s="17"/>
    </row>
    <row r="20" spans="2:18" x14ac:dyDescent="0.25">
      <c r="B20" s="6" t="s">
        <v>13</v>
      </c>
      <c r="C20" s="3">
        <v>4333</v>
      </c>
      <c r="D20" s="3">
        <v>150</v>
      </c>
      <c r="E20" s="4">
        <f t="shared" si="0"/>
        <v>3.4618047542118627E-2</v>
      </c>
      <c r="F20" s="21"/>
      <c r="H20" s="6" t="s">
        <v>13</v>
      </c>
      <c r="I20" s="3">
        <v>4333</v>
      </c>
      <c r="J20" s="3">
        <v>194</v>
      </c>
      <c r="K20" s="8">
        <f t="shared" si="1"/>
        <v>4.4772674821140085E-2</v>
      </c>
      <c r="L20" s="18"/>
    </row>
    <row r="21" spans="2:18" x14ac:dyDescent="0.25">
      <c r="R21" t="s">
        <v>30</v>
      </c>
    </row>
  </sheetData>
  <mergeCells count="4">
    <mergeCell ref="L9:L20"/>
    <mergeCell ref="F9:F20"/>
    <mergeCell ref="A5:F7"/>
    <mergeCell ref="H5:K6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&amp;L&amp;G&amp;CPREFEITURA DE SÃO SEBASTIÃO
 ESTÂNCIA BALNEÁRIA DO ESTADO DE SÃO PAULO
SECRETARIA DE SEGURANÇA URBANA
DIVISÃO DE PROCESSAMENTO
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BASE ANUAL</vt:lpstr>
      <vt:lpstr>BASE ANUAL (GRAFICOS)</vt:lpstr>
      <vt:lpstr>BASE MENSAL 2022</vt:lpstr>
      <vt:lpstr>BASE MENSAL 2022 (GRAFICO)</vt:lpstr>
      <vt:lpstr>'BASE MENSAL 2022 (GRAFICO)'!Area_de_impressao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cp:lastPrinted>2023-01-12T17:49:49Z</cp:lastPrinted>
  <dcterms:created xsi:type="dcterms:W3CDTF">2022-10-05T17:32:31Z</dcterms:created>
  <dcterms:modified xsi:type="dcterms:W3CDTF">2023-01-12T17:50:48Z</dcterms:modified>
</cp:coreProperties>
</file>